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s\AFT Project\"/>
    </mc:Choice>
  </mc:AlternateContent>
  <bookViews>
    <workbookView xWindow="0" yWindow="0" windowWidth="20520" windowHeight="10988" activeTab="1" xr2:uid="{2C999BD5-9973-423B-8E05-B4BFA15ADF36}"/>
  </bookViews>
  <sheets>
    <sheet name="data" sheetId="1" r:id="rId1"/>
    <sheet name="dHf" sheetId="3" r:id="rId2"/>
    <sheet name="enthalpy" sheetId="2" r:id="rId3"/>
    <sheet name="Sheet1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5" i="4" l="1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15" i="4"/>
</calcChain>
</file>

<file path=xl/sharedStrings.xml><?xml version="1.0" encoding="utf-8"?>
<sst xmlns="http://schemas.openxmlformats.org/spreadsheetml/2006/main" count="113" uniqueCount="50">
  <si>
    <t>Ar</t>
  </si>
  <si>
    <t>(g)</t>
  </si>
  <si>
    <t>Argon</t>
  </si>
  <si>
    <t>C2H4</t>
  </si>
  <si>
    <t>C2H6</t>
  </si>
  <si>
    <t>C3H8</t>
  </si>
  <si>
    <t>Propane</t>
  </si>
  <si>
    <t>C4H10</t>
  </si>
  <si>
    <t>Butane</t>
  </si>
  <si>
    <t>CH4</t>
  </si>
  <si>
    <t>Methane</t>
  </si>
  <si>
    <t>Eqn Break</t>
  </si>
  <si>
    <t>CO</t>
  </si>
  <si>
    <t>Carbon Monoxide</t>
  </si>
  <si>
    <t>CO2</t>
  </si>
  <si>
    <t>Carbon Dioxide</t>
  </si>
  <si>
    <t>H2O</t>
  </si>
  <si>
    <t>H2S</t>
  </si>
  <si>
    <t>N2</t>
  </si>
  <si>
    <t>SO2</t>
  </si>
  <si>
    <t>Ethylene</t>
  </si>
  <si>
    <t>Ethane</t>
  </si>
  <si>
    <t>Nitrogen</t>
  </si>
  <si>
    <t>C2H2</t>
  </si>
  <si>
    <t>Acetylene</t>
  </si>
  <si>
    <t>Formula</t>
  </si>
  <si>
    <t>Descr.</t>
  </si>
  <si>
    <t>Name</t>
  </si>
  <si>
    <t>GFW</t>
  </si>
  <si>
    <t>Dens. (298K)</t>
  </si>
  <si>
    <t>S(298 K)</t>
  </si>
  <si>
    <t>Tmax</t>
  </si>
  <si>
    <t>A1*T</t>
  </si>
  <si>
    <t>B1*T^2</t>
  </si>
  <si>
    <t>C1*T^-1</t>
  </si>
  <si>
    <t>D1*T^0.5</t>
  </si>
  <si>
    <t>E1*T^3</t>
  </si>
  <si>
    <t>Const1(F)</t>
  </si>
  <si>
    <t>T1</t>
  </si>
  <si>
    <t>H(T1)</t>
  </si>
  <si>
    <t>Moisture(H2O)</t>
  </si>
  <si>
    <t>Hydrogen Sulphide</t>
  </si>
  <si>
    <t>Sulphur Dioxide</t>
  </si>
  <si>
    <t>O2</t>
  </si>
  <si>
    <t>Oxygen</t>
  </si>
  <si>
    <r>
      <t>D</t>
    </r>
    <r>
      <rPr>
        <sz val="11"/>
        <color theme="1"/>
        <rFont val="Arial"/>
        <family val="2"/>
      </rPr>
      <t>Hf(298K)</t>
    </r>
  </si>
  <si>
    <r>
      <t xml:space="preserve">Note:  </t>
    </r>
    <r>
      <rPr>
        <sz val="11"/>
        <color theme="1"/>
        <rFont val="Calibri"/>
        <family val="2"/>
        <scheme val="minor"/>
      </rPr>
      <t>See User's Guide for explanation of headings of the following columns==&gt;.</t>
    </r>
  </si>
  <si>
    <t>H2</t>
  </si>
  <si>
    <t>Hydrogen dimer</t>
  </si>
  <si>
    <t>Hydrogen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</si>
</sst>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0000"/>
    <numFmt numFmtId="167" formatCode="0.00000E+00"/>
    <numFmt numFmtId="168" formatCode="0.0000E+00"/>
    <numFmt numFmtId="169" formatCode="0.00000000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  <font>
      <sz val="11"/>
      <color theme="1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2">
    <xf numFmtId="0" fontId="0" fillId="0" borderId="0" xfId="0"/>
    <xf numFmtId="0" fontId="2" fillId="0" borderId="1" xfId="1" applyNumberFormat="1" applyFont="1" applyFill="1" applyBorder="1" applyAlignment="1">
      <alignment horizontal="right" wrapText="1"/>
    </xf>
    <xf numFmtId="0" fontId="2" fillId="0" borderId="1" xfId="1" quotePrefix="1" applyNumberFormat="1" applyFont="1" applyFill="1" applyBorder="1" applyAlignment="1">
      <alignment horizontal="right" wrapText="1"/>
    </xf>
    <xf numFmtId="0" fontId="3" fillId="0" borderId="1" xfId="1" applyNumberFormat="1" applyFont="1" applyFill="1" applyBorder="1" applyAlignment="1">
      <alignment horizontal="right" wrapText="1"/>
    </xf>
    <xf numFmtId="0" fontId="5" fillId="0" borderId="1" xfId="1" applyNumberFormat="1" applyFont="1" applyFill="1" applyBorder="1" applyAlignment="1">
      <alignment horizontal="right" wrapText="1"/>
    </xf>
    <xf numFmtId="165" fontId="2" fillId="0" borderId="1" xfId="1" applyNumberFormat="1" applyFont="1" applyFill="1" applyBorder="1" applyAlignment="1">
      <alignment horizontal="right" wrapText="1"/>
    </xf>
    <xf numFmtId="0" fontId="6" fillId="0" borderId="1" xfId="1" quotePrefix="1" applyNumberFormat="1" applyFont="1" applyFill="1" applyBorder="1" applyAlignment="1">
      <alignment horizontal="right" wrapText="1"/>
    </xf>
    <xf numFmtId="0" fontId="6" fillId="0" borderId="1" xfId="1" applyNumberFormat="1" applyFont="1" applyFill="1" applyBorder="1" applyAlignment="1">
      <alignment horizontal="right" wrapText="1"/>
    </xf>
    <xf numFmtId="0" fontId="7" fillId="0" borderId="0" xfId="1" applyNumberFormat="1" applyFont="1" applyFill="1" applyAlignment="1">
      <alignment horizontal="right" wrapText="1"/>
    </xf>
    <xf numFmtId="0" fontId="7" fillId="2" borderId="0" xfId="1" applyFont="1" applyFill="1" applyAlignment="1">
      <alignment horizontal="right" wrapText="1"/>
    </xf>
    <xf numFmtId="0" fontId="7" fillId="0" borderId="0" xfId="1" applyFont="1" applyAlignment="1">
      <alignment horizontal="right" wrapText="1"/>
    </xf>
    <xf numFmtId="164" fontId="7" fillId="0" borderId="0" xfId="1" applyNumberFormat="1" applyFont="1" applyAlignment="1">
      <alignment horizontal="right" wrapText="1"/>
    </xf>
    <xf numFmtId="0" fontId="7" fillId="3" borderId="0" xfId="1" applyFont="1" applyFill="1" applyAlignment="1">
      <alignment horizontal="right" wrapText="1"/>
    </xf>
    <xf numFmtId="0" fontId="2" fillId="0" borderId="0" xfId="1" applyFont="1" applyAlignment="1">
      <alignment horizontal="right" wrapText="1"/>
    </xf>
    <xf numFmtId="0" fontId="7" fillId="0" borderId="0" xfId="1" applyNumberFormat="1" applyFont="1" applyAlignment="1">
      <alignment horizontal="right" wrapText="1"/>
    </xf>
    <xf numFmtId="165" fontId="7" fillId="0" borderId="0" xfId="1" applyNumberFormat="1" applyFont="1" applyAlignment="1">
      <alignment horizontal="right" wrapText="1"/>
    </xf>
    <xf numFmtId="169" fontId="7" fillId="0" borderId="0" xfId="1" applyNumberFormat="1" applyFont="1" applyAlignment="1">
      <alignment horizontal="right" wrapText="1"/>
    </xf>
    <xf numFmtId="0" fontId="2" fillId="0" borderId="0" xfId="1" applyNumberFormat="1" applyFont="1" applyAlignment="1">
      <alignment horizontal="right" wrapText="1"/>
    </xf>
    <xf numFmtId="0" fontId="7" fillId="3" borderId="0" xfId="1" applyNumberFormat="1" applyFont="1" applyFill="1" applyAlignment="1">
      <alignment horizontal="right" wrapText="1"/>
    </xf>
    <xf numFmtId="166" fontId="7" fillId="0" borderId="0" xfId="1" applyNumberFormat="1" applyFont="1" applyAlignment="1">
      <alignment horizontal="right" wrapText="1"/>
    </xf>
    <xf numFmtId="167" fontId="7" fillId="0" borderId="0" xfId="1" applyNumberFormat="1" applyFont="1" applyAlignment="1">
      <alignment horizontal="right" wrapText="1"/>
    </xf>
    <xf numFmtId="11" fontId="7" fillId="0" borderId="0" xfId="1" applyNumberFormat="1" applyFont="1" applyAlignment="1">
      <alignment horizontal="right" wrapText="1"/>
    </xf>
    <xf numFmtId="168" fontId="7" fillId="0" borderId="0" xfId="1" applyNumberFormat="1" applyFont="1" applyAlignment="1">
      <alignment horizontal="right" wrapText="1"/>
    </xf>
    <xf numFmtId="0" fontId="7" fillId="2" borderId="0" xfId="1" applyFont="1" applyFill="1" applyAlignment="1">
      <alignment horizontal="right"/>
    </xf>
    <xf numFmtId="0" fontId="7" fillId="0" borderId="0" xfId="1" applyFont="1" applyAlignment="1">
      <alignment horizontal="right"/>
    </xf>
    <xf numFmtId="164" fontId="7" fillId="0" borderId="0" xfId="1" applyNumberFormat="1" applyFont="1" applyAlignment="1">
      <alignment horizontal="right"/>
    </xf>
    <xf numFmtId="0" fontId="7" fillId="3" borderId="0" xfId="1" applyFont="1" applyFill="1" applyAlignment="1">
      <alignment horizontal="right"/>
    </xf>
    <xf numFmtId="11" fontId="7" fillId="0" borderId="0" xfId="1" applyNumberFormat="1" applyFont="1" applyAlignment="1">
      <alignment horizontal="right"/>
    </xf>
    <xf numFmtId="0" fontId="2" fillId="0" borderId="0" xfId="1" applyFont="1" applyAlignment="1">
      <alignment horizontal="right"/>
    </xf>
    <xf numFmtId="0" fontId="7" fillId="0" borderId="0" xfId="1" applyNumberFormat="1" applyFont="1" applyAlignment="1">
      <alignment horizontal="right"/>
    </xf>
    <xf numFmtId="0" fontId="8" fillId="0" borderId="0" xfId="0" applyFont="1" applyAlignment="1">
      <alignment wrapText="1"/>
    </xf>
    <xf numFmtId="0" fontId="9" fillId="0" borderId="0" xfId="1" applyFont="1" applyAlignment="1">
      <alignment horizontal="right" wrapText="1"/>
    </xf>
    <xf numFmtId="0" fontId="9" fillId="0" borderId="0" xfId="1" applyNumberFormat="1" applyFont="1" applyAlignment="1">
      <alignment horizontal="right" wrapText="1"/>
    </xf>
    <xf numFmtId="0" fontId="9" fillId="0" borderId="0" xfId="1" applyFont="1" applyAlignment="1">
      <alignment horizontal="right"/>
    </xf>
    <xf numFmtId="0" fontId="10" fillId="0" borderId="0" xfId="0" applyFont="1"/>
    <xf numFmtId="2" fontId="9" fillId="0" borderId="0" xfId="1" applyNumberFormat="1" applyFont="1" applyAlignment="1">
      <alignment horizontal="right" wrapText="1"/>
    </xf>
    <xf numFmtId="2" fontId="9" fillId="0" borderId="0" xfId="1" applyNumberFormat="1" applyFont="1" applyAlignment="1">
      <alignment horizontal="right"/>
    </xf>
    <xf numFmtId="0" fontId="1" fillId="2" borderId="0" xfId="1" applyFill="1" applyAlignment="1">
      <alignment horizontal="right"/>
    </xf>
    <xf numFmtId="0" fontId="1" fillId="0" borderId="0" xfId="1" applyAlignment="1">
      <alignment horizontal="right"/>
    </xf>
    <xf numFmtId="164" fontId="1" fillId="0" borderId="0" xfId="1" applyNumberFormat="1" applyAlignment="1">
      <alignment horizontal="right"/>
    </xf>
    <xf numFmtId="0" fontId="1" fillId="3" borderId="0" xfId="1" applyFill="1" applyAlignment="1">
      <alignment horizontal="right"/>
    </xf>
    <xf numFmtId="11" fontId="1" fillId="0" borderId="0" xfId="1" applyNumberFormat="1" applyAlignment="1">
      <alignment horizontal="right"/>
    </xf>
    <xf numFmtId="0" fontId="1" fillId="0" borderId="0" xfId="1" applyNumberFormat="1" applyAlignment="1">
      <alignment horizontal="right"/>
    </xf>
    <xf numFmtId="2" fontId="1" fillId="0" borderId="0" xfId="1" applyNumberFormat="1" applyAlignment="1">
      <alignment horizontal="right"/>
    </xf>
    <xf numFmtId="2" fontId="1" fillId="0" borderId="0" xfId="1" applyNumberFormat="1" applyFont="1" applyFill="1" applyAlignment="1">
      <alignment horizontal="right" wrapText="1"/>
    </xf>
    <xf numFmtId="0" fontId="11" fillId="2" borderId="0" xfId="1" applyFont="1" applyFill="1" applyAlignment="1">
      <alignment horizontal="right" wrapText="1"/>
    </xf>
    <xf numFmtId="0" fontId="11" fillId="0" borderId="0" xfId="1" applyNumberFormat="1" applyFont="1" applyAlignment="1">
      <alignment horizontal="right" wrapText="1"/>
    </xf>
    <xf numFmtId="0" fontId="11" fillId="2" borderId="0" xfId="1" applyFont="1" applyFill="1" applyAlignment="1">
      <alignment horizontal="right"/>
    </xf>
    <xf numFmtId="0" fontId="11" fillId="0" borderId="0" xfId="1" applyNumberFormat="1" applyFont="1" applyFill="1" applyAlignment="1">
      <alignment horizontal="right" wrapText="1"/>
    </xf>
    <xf numFmtId="0" fontId="12" fillId="0" borderId="0" xfId="0" applyFont="1"/>
    <xf numFmtId="2" fontId="11" fillId="0" borderId="0" xfId="1" applyNumberFormat="1" applyFont="1" applyAlignment="1">
      <alignment horizontal="right" wrapText="1"/>
    </xf>
    <xf numFmtId="2" fontId="11" fillId="0" borderId="0" xfId="1" applyNumberFormat="1" applyFont="1" applyAlignment="1">
      <alignment horizontal="right"/>
    </xf>
  </cellXfs>
  <cellStyles count="2">
    <cellStyle name="Normal" xfId="0" builtinId="0"/>
    <cellStyle name="Normal 2" xfId="1" xr:uid="{949357E4-6999-4DE4-BBF9-BF3C87B28A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32C9-262A-4818-AD99-A1CF613837CA}">
  <dimension ref="A1:FE1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22" sqref="F22"/>
    </sheetView>
  </sheetViews>
  <sheetFormatPr defaultRowHeight="14.25" x14ac:dyDescent="0.45"/>
  <cols>
    <col min="1" max="1" width="8.1328125" style="30" bestFit="1" customWidth="1"/>
    <col min="2" max="2" width="6.33203125" style="30" bestFit="1" customWidth="1"/>
    <col min="3" max="3" width="16.59765625" style="30" customWidth="1"/>
    <col min="4" max="4" width="6.265625" style="30" bestFit="1" customWidth="1"/>
    <col min="5" max="5" width="11.796875" style="30" bestFit="1" customWidth="1"/>
    <col min="6" max="6" width="9.3984375" style="30" bestFit="1" customWidth="1"/>
    <col min="7" max="7" width="8" style="30" bestFit="1" customWidth="1"/>
    <col min="8" max="8" width="5.6640625" style="30" bestFit="1" customWidth="1"/>
    <col min="9" max="9" width="7.265625" style="30" bestFit="1" customWidth="1"/>
    <col min="10" max="10" width="12.33203125" style="30" bestFit="1" customWidth="1"/>
    <col min="11" max="11" width="11.33203125" style="30" bestFit="1" customWidth="1"/>
    <col min="12" max="12" width="12.33203125" style="30" bestFit="1" customWidth="1"/>
    <col min="13" max="13" width="12.59765625" style="30" bestFit="1" customWidth="1"/>
    <col min="14" max="14" width="9.265625" style="30" bestFit="1" customWidth="1"/>
    <col min="15" max="15" width="7.33203125" style="30" bestFit="1" customWidth="1"/>
    <col min="16" max="16" width="9.73046875" style="30" bestFit="1" customWidth="1"/>
    <col min="17" max="17" width="24.06640625" style="30" customWidth="1"/>
    <col min="18" max="19" width="12.33203125" style="30" bestFit="1" customWidth="1"/>
    <col min="20" max="20" width="11.73046875" style="30" bestFit="1" customWidth="1"/>
    <col min="21" max="21" width="12.59765625" style="30" bestFit="1" customWidth="1"/>
    <col min="22" max="22" width="12.33203125" style="30" bestFit="1" customWidth="1"/>
    <col min="23" max="23" width="6.33203125" style="30" bestFit="1" customWidth="1"/>
    <col min="24" max="24" width="9.73046875" style="30" bestFit="1" customWidth="1"/>
    <col min="25" max="27" width="12.33203125" style="30" bestFit="1" customWidth="1"/>
    <col min="28" max="28" width="11.33203125" style="30" bestFit="1" customWidth="1"/>
    <col min="29" max="29" width="12.59765625" style="30" bestFit="1" customWidth="1"/>
    <col min="30" max="30" width="12" style="30" bestFit="1" customWidth="1"/>
    <col min="31" max="31" width="12.33203125" style="30" bestFit="1" customWidth="1"/>
    <col min="32" max="32" width="7.33203125" style="30" bestFit="1" customWidth="1"/>
    <col min="33" max="33" width="12.33203125" style="30" bestFit="1" customWidth="1"/>
    <col min="34" max="36" width="11.73046875" style="30" bestFit="1" customWidth="1"/>
    <col min="37" max="37" width="12.33203125" style="30" bestFit="1" customWidth="1"/>
    <col min="38" max="38" width="12.59765625" style="30" bestFit="1" customWidth="1"/>
    <col min="39" max="39" width="11.33203125" style="30" bestFit="1" customWidth="1"/>
    <col min="40" max="40" width="7.33203125" style="30" bestFit="1" customWidth="1"/>
    <col min="41" max="41" width="12.33203125" style="30" bestFit="1" customWidth="1"/>
    <col min="42" max="44" width="11.73046875" style="30" bestFit="1" customWidth="1"/>
    <col min="45" max="45" width="12.33203125" style="30" bestFit="1" customWidth="1"/>
    <col min="46" max="46" width="11.59765625" style="30" bestFit="1" customWidth="1"/>
    <col min="47" max="47" width="11.33203125" style="30" bestFit="1" customWidth="1"/>
    <col min="48" max="48" width="9.73046875" style="30" bestFit="1" customWidth="1"/>
    <col min="49" max="51" width="11.73046875" style="30" bestFit="1" customWidth="1"/>
    <col min="52" max="52" width="8.73046875" style="30" bestFit="1" customWidth="1"/>
    <col min="53" max="53" width="12" style="30" bestFit="1" customWidth="1"/>
    <col min="54" max="54" width="11.59765625" style="30" bestFit="1" customWidth="1"/>
    <col min="55" max="55" width="11.33203125" style="30" bestFit="1" customWidth="1"/>
    <col min="56" max="56" width="5.73046875" style="30" bestFit="1" customWidth="1"/>
    <col min="57" max="57" width="10.33203125" style="30" bestFit="1" customWidth="1"/>
    <col min="58" max="59" width="11.73046875" style="30" bestFit="1" customWidth="1"/>
    <col min="60" max="60" width="6.33203125" style="30" bestFit="1" customWidth="1"/>
    <col min="61" max="61" width="8.33203125" style="30" bestFit="1" customWidth="1"/>
    <col min="62" max="62" width="11.59765625" style="30" bestFit="1" customWidth="1"/>
    <col min="63" max="63" width="11.33203125" style="30" bestFit="1" customWidth="1"/>
    <col min="64" max="64" width="4.73046875" style="30" bestFit="1" customWidth="1"/>
    <col min="65" max="65" width="7.33203125" style="30" bestFit="1" customWidth="1"/>
    <col min="66" max="67" width="11.73046875" style="30" bestFit="1" customWidth="1"/>
    <col min="68" max="68" width="6.73046875" style="30" bestFit="1" customWidth="1"/>
    <col min="69" max="70" width="1.73046875" style="30" bestFit="1" customWidth="1"/>
    <col min="71" max="71" width="6.33203125" style="30" bestFit="1" customWidth="1"/>
    <col min="72" max="72" width="4.73046875" style="30" bestFit="1" customWidth="1"/>
    <col min="73" max="73" width="1.73046875" style="30" bestFit="1" customWidth="1"/>
    <col min="74" max="74" width="2.73046875" style="30" bestFit="1" customWidth="1"/>
    <col min="75" max="75" width="1.73046875" style="30" bestFit="1" customWidth="1"/>
    <col min="76" max="76" width="2.73046875" style="30" bestFit="1" customWidth="1"/>
    <col min="77" max="77" width="1.73046875" style="30" bestFit="1" customWidth="1"/>
    <col min="78" max="16384" width="9.06640625" style="30"/>
  </cols>
  <sheetData>
    <row r="1" spans="1:161" s="8" customFormat="1" ht="39" x14ac:dyDescent="0.4">
      <c r="A1" s="1" t="s">
        <v>25</v>
      </c>
      <c r="B1" s="1" t="s">
        <v>26</v>
      </c>
      <c r="C1" s="1" t="s">
        <v>27</v>
      </c>
      <c r="D1" s="2" t="s">
        <v>28</v>
      </c>
      <c r="E1" s="1" t="s">
        <v>29</v>
      </c>
      <c r="F1" s="3" t="s">
        <v>45</v>
      </c>
      <c r="G1" s="1" t="s">
        <v>30</v>
      </c>
      <c r="H1" s="4" t="s">
        <v>31</v>
      </c>
      <c r="I1" s="5" t="s">
        <v>32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37</v>
      </c>
      <c r="O1" s="2" t="s">
        <v>38</v>
      </c>
      <c r="P1" s="2" t="s">
        <v>39</v>
      </c>
      <c r="Q1" s="1" t="s">
        <v>46</v>
      </c>
      <c r="R1" s="1"/>
      <c r="S1" s="1"/>
      <c r="T1" s="1"/>
      <c r="U1" s="1"/>
      <c r="V1" s="1"/>
      <c r="W1" s="1"/>
      <c r="X1" s="2"/>
      <c r="Y1" s="1"/>
      <c r="Z1" s="1"/>
      <c r="AA1" s="1"/>
      <c r="AB1" s="1"/>
      <c r="AC1" s="1"/>
      <c r="AD1" s="1"/>
      <c r="AE1" s="1"/>
      <c r="AF1" s="1"/>
      <c r="AG1" s="2"/>
      <c r="AH1" s="2"/>
      <c r="AI1" s="2"/>
      <c r="AJ1" s="1"/>
      <c r="AK1" s="1"/>
      <c r="AL1" s="1"/>
      <c r="AM1" s="1"/>
      <c r="AN1" s="1"/>
      <c r="AO1" s="1"/>
      <c r="AP1" s="2"/>
      <c r="AQ1" s="1"/>
      <c r="AR1" s="1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6"/>
      <c r="BR1" s="7"/>
      <c r="BS1" s="7"/>
      <c r="BT1" s="2"/>
      <c r="BU1" s="2"/>
      <c r="BV1" s="2"/>
      <c r="BW1" s="2"/>
      <c r="BX1" s="2"/>
      <c r="BY1" s="2"/>
    </row>
    <row r="3" spans="1:161" s="14" customFormat="1" ht="13.15" x14ac:dyDescent="0.4">
      <c r="A3" s="9" t="s">
        <v>0</v>
      </c>
      <c r="B3" s="10" t="s">
        <v>1</v>
      </c>
      <c r="C3" s="10" t="s">
        <v>2</v>
      </c>
      <c r="D3" s="11">
        <v>39.948</v>
      </c>
      <c r="E3" s="10">
        <v>1.6299999999999999E-3</v>
      </c>
      <c r="F3" s="10">
        <v>0</v>
      </c>
      <c r="G3" s="10">
        <v>36.982999999999997</v>
      </c>
      <c r="H3" s="12">
        <v>6000</v>
      </c>
      <c r="I3" s="10">
        <v>4.968</v>
      </c>
      <c r="J3" s="10">
        <v>0</v>
      </c>
      <c r="K3" s="10">
        <v>0</v>
      </c>
      <c r="L3" s="10">
        <v>0</v>
      </c>
      <c r="M3" s="10">
        <v>0</v>
      </c>
      <c r="N3" s="10">
        <v>-1481</v>
      </c>
      <c r="O3" s="13">
        <v>6000</v>
      </c>
      <c r="P3" s="10">
        <v>1</v>
      </c>
      <c r="Q3" s="10">
        <v>6</v>
      </c>
      <c r="R3" s="10">
        <v>1</v>
      </c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</row>
    <row r="4" spans="1:161" s="14" customFormat="1" ht="13.15" x14ac:dyDescent="0.4">
      <c r="A4" s="14" t="s">
        <v>3</v>
      </c>
      <c r="B4" s="14" t="s">
        <v>1</v>
      </c>
      <c r="C4" s="14" t="s">
        <v>20</v>
      </c>
      <c r="D4" s="11">
        <v>28.053759999999997</v>
      </c>
      <c r="E4" s="14">
        <v>1.15E-3</v>
      </c>
      <c r="F4" s="14">
        <v>12540</v>
      </c>
      <c r="G4" s="14">
        <v>52.396000000000001</v>
      </c>
      <c r="H4" s="14">
        <v>2000</v>
      </c>
      <c r="I4" s="15">
        <v>35.566101000000003</v>
      </c>
      <c r="J4" s="16">
        <v>2.8169499999999999E-3</v>
      </c>
      <c r="K4" s="14">
        <v>-496444</v>
      </c>
      <c r="L4" s="14">
        <v>-1120.3900000000001</v>
      </c>
      <c r="M4" s="14">
        <v>-5.1530300000000004E-7</v>
      </c>
      <c r="N4" s="14">
        <v>10170</v>
      </c>
      <c r="O4" s="17">
        <v>2000</v>
      </c>
      <c r="P4" s="14">
        <v>-5.3705410000000064</v>
      </c>
      <c r="Q4" s="14">
        <v>85.324629741334689</v>
      </c>
      <c r="R4" s="14">
        <v>-1.8112619999999997E-3</v>
      </c>
      <c r="S4" s="14">
        <v>-228300</v>
      </c>
      <c r="T4" s="14">
        <v>-1317.2</v>
      </c>
      <c r="U4" s="14">
        <v>2.2864410000000001E-7</v>
      </c>
      <c r="V4" s="14">
        <v>23693.292999999998</v>
      </c>
      <c r="W4" s="17">
        <v>2000</v>
      </c>
      <c r="X4" s="14">
        <v>2</v>
      </c>
      <c r="Y4" s="14">
        <v>15</v>
      </c>
      <c r="Z4" s="14">
        <v>2</v>
      </c>
      <c r="AA4" s="14">
        <v>38</v>
      </c>
      <c r="AB4" s="14">
        <v>2</v>
      </c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</row>
    <row r="5" spans="1:161" s="14" customFormat="1" ht="13.15" x14ac:dyDescent="0.4">
      <c r="A5" s="14" t="s">
        <v>4</v>
      </c>
      <c r="B5" s="14" t="s">
        <v>1</v>
      </c>
      <c r="C5" s="14" t="s">
        <v>21</v>
      </c>
      <c r="D5" s="11">
        <v>30.06964</v>
      </c>
      <c r="E5" s="14">
        <v>1.23E-3</v>
      </c>
      <c r="F5" s="14">
        <v>-20240</v>
      </c>
      <c r="G5" s="14">
        <v>54.85</v>
      </c>
      <c r="H5" s="14">
        <v>1000</v>
      </c>
      <c r="I5" s="15">
        <v>25.331699</v>
      </c>
      <c r="J5" s="14">
        <v>1.14704E-2</v>
      </c>
      <c r="K5" s="14">
        <v>-382691</v>
      </c>
      <c r="L5" s="14">
        <v>-804.95203000000004</v>
      </c>
      <c r="M5" s="14">
        <v>-2.20334E-6</v>
      </c>
      <c r="N5" s="14">
        <v>6669</v>
      </c>
      <c r="O5" s="17">
        <v>1000</v>
      </c>
      <c r="P5" s="14">
        <v>6.6579409999999974</v>
      </c>
      <c r="Q5" s="14">
        <v>30.489285573748628</v>
      </c>
      <c r="R5" s="14">
        <v>-9.0260619999999996E-3</v>
      </c>
      <c r="S5" s="14">
        <v>-229569</v>
      </c>
      <c r="T5" s="14">
        <v>-1071.8100600000002</v>
      </c>
      <c r="U5" s="14">
        <v>1.0108231000000001E-6</v>
      </c>
      <c r="V5" s="14">
        <v>-8210.0542000000005</v>
      </c>
      <c r="W5" s="17">
        <v>1000</v>
      </c>
      <c r="X5" s="14">
        <v>2</v>
      </c>
      <c r="Y5" s="14">
        <v>15</v>
      </c>
      <c r="Z5" s="14">
        <v>2</v>
      </c>
      <c r="AA5" s="14">
        <v>38</v>
      </c>
      <c r="AB5" s="14">
        <v>3</v>
      </c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</row>
    <row r="6" spans="1:161" s="14" customFormat="1" ht="13.15" x14ac:dyDescent="0.4">
      <c r="A6" s="14" t="s">
        <v>5</v>
      </c>
      <c r="B6" s="14" t="s">
        <v>1</v>
      </c>
      <c r="C6" s="14" t="s">
        <v>6</v>
      </c>
      <c r="D6" s="11">
        <v>44.096519999999998</v>
      </c>
      <c r="E6" s="14">
        <v>1.8E-3</v>
      </c>
      <c r="F6" s="14">
        <v>-24820</v>
      </c>
      <c r="G6" s="14">
        <v>64.536000000000001</v>
      </c>
      <c r="H6" s="14">
        <v>1500</v>
      </c>
      <c r="I6" s="15">
        <v>51.161568000000003</v>
      </c>
      <c r="J6" s="14">
        <v>1.08697E-2</v>
      </c>
      <c r="K6" s="14">
        <v>-619973.68999999994</v>
      </c>
      <c r="L6" s="14">
        <v>-1603.2312999999999</v>
      </c>
      <c r="M6" s="14">
        <v>-2.0891500000000001E-6</v>
      </c>
      <c r="N6" s="14">
        <v>13598</v>
      </c>
      <c r="O6" s="17">
        <v>1500</v>
      </c>
      <c r="P6" s="14">
        <v>-4.0741480000000081</v>
      </c>
      <c r="Q6" s="14">
        <v>156.25936808392106</v>
      </c>
      <c r="R6" s="14">
        <v>-7.9225179999999999E-3</v>
      </c>
      <c r="S6" s="14">
        <v>-338249.34499999997</v>
      </c>
      <c r="T6" s="14">
        <v>-2206.5785999999998</v>
      </c>
      <c r="U6" s="14">
        <v>9.3922440000000004E-7</v>
      </c>
      <c r="V6" s="14">
        <v>-5369.4076999999997</v>
      </c>
      <c r="W6" s="17">
        <v>1500</v>
      </c>
      <c r="X6" s="14">
        <v>2</v>
      </c>
      <c r="Y6" s="14">
        <v>15</v>
      </c>
      <c r="Z6" s="14">
        <v>3</v>
      </c>
      <c r="AA6" s="14">
        <v>38</v>
      </c>
      <c r="AB6" s="14">
        <v>4</v>
      </c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</row>
    <row r="7" spans="1:161" s="14" customFormat="1" ht="13.15" x14ac:dyDescent="0.4">
      <c r="A7" s="14" t="s">
        <v>7</v>
      </c>
      <c r="B7" s="14" t="s">
        <v>1</v>
      </c>
      <c r="C7" s="14" t="s">
        <v>8</v>
      </c>
      <c r="D7" s="11">
        <v>58.123399999999997</v>
      </c>
      <c r="E7" s="14">
        <v>2.48E-3</v>
      </c>
      <c r="F7" s="14">
        <v>-30150</v>
      </c>
      <c r="G7" s="14">
        <v>74.150000000000006</v>
      </c>
      <c r="H7" s="14">
        <v>700</v>
      </c>
      <c r="I7" s="15">
        <v>8.5860000000000003</v>
      </c>
      <c r="J7" s="14">
        <v>2.623E-2</v>
      </c>
      <c r="K7" s="14">
        <v>0</v>
      </c>
      <c r="L7" s="14">
        <v>0</v>
      </c>
      <c r="M7" s="14">
        <v>0</v>
      </c>
      <c r="N7" s="14">
        <v>-4898</v>
      </c>
      <c r="O7" s="17">
        <v>700</v>
      </c>
      <c r="P7" s="14">
        <v>53.599299999999999</v>
      </c>
      <c r="Q7" s="14">
        <v>-300.5293153550611</v>
      </c>
      <c r="R7" s="14">
        <v>-2.2779974000000001E-2</v>
      </c>
      <c r="S7" s="14">
        <v>-18301.5</v>
      </c>
      <c r="T7" s="14">
        <v>1461.674</v>
      </c>
      <c r="U7" s="14">
        <v>-1.1985430000000004E-7</v>
      </c>
      <c r="V7" s="14">
        <v>-28703.761200000001</v>
      </c>
      <c r="W7" s="17">
        <v>700</v>
      </c>
      <c r="X7" s="14">
        <v>2</v>
      </c>
      <c r="Y7" s="14">
        <v>15</v>
      </c>
      <c r="Z7" s="14">
        <v>4</v>
      </c>
      <c r="AA7" s="14">
        <v>38</v>
      </c>
      <c r="AB7" s="14">
        <v>5</v>
      </c>
      <c r="BK7" s="17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</row>
    <row r="8" spans="1:161" s="14" customFormat="1" ht="13.15" x14ac:dyDescent="0.4">
      <c r="A8" s="14" t="s">
        <v>9</v>
      </c>
      <c r="B8" s="14" t="s">
        <v>1</v>
      </c>
      <c r="C8" s="14" t="s">
        <v>10</v>
      </c>
      <c r="D8" s="11">
        <v>16.042760000000001</v>
      </c>
      <c r="E8" s="14">
        <v>6.6E-4</v>
      </c>
      <c r="F8" s="14">
        <v>-17880</v>
      </c>
      <c r="G8" s="14">
        <v>44.49</v>
      </c>
      <c r="H8" s="18">
        <v>4500</v>
      </c>
      <c r="I8" s="15">
        <v>14.63201812010001</v>
      </c>
      <c r="J8" s="14">
        <v>6.6700545824712352E-3</v>
      </c>
      <c r="K8" s="14">
        <v>-400444.75399576762</v>
      </c>
      <c r="L8" s="14">
        <v>-490.26693906601156</v>
      </c>
      <c r="M8" s="14">
        <v>-1.1567633035269733E-6</v>
      </c>
      <c r="N8" s="14">
        <v>4884</v>
      </c>
      <c r="O8" s="14">
        <v>1500</v>
      </c>
      <c r="P8" s="14">
        <v>0</v>
      </c>
      <c r="Q8" s="14" t="s">
        <v>11</v>
      </c>
      <c r="R8" s="14">
        <v>32.640107990296535</v>
      </c>
      <c r="S8" s="14">
        <v>-2.1546364262255819E-4</v>
      </c>
      <c r="T8" s="14">
        <v>4381338.6865554033</v>
      </c>
      <c r="U8" s="14">
        <v>-726.12649348682271</v>
      </c>
      <c r="V8" s="14">
        <v>0</v>
      </c>
      <c r="W8" s="14">
        <v>-4593</v>
      </c>
      <c r="X8" s="17">
        <v>4500</v>
      </c>
      <c r="Y8" s="14">
        <v>2.2598818798999893</v>
      </c>
      <c r="Z8" s="14">
        <v>30.235270811039676</v>
      </c>
      <c r="AA8" s="14">
        <v>-4.728560582471235E-3</v>
      </c>
      <c r="AB8" s="14">
        <v>-248406.87699788381</v>
      </c>
      <c r="AC8" s="10">
        <v>-904.22987813202315</v>
      </c>
      <c r="AD8" s="10">
        <v>5.0203845176348665E-7</v>
      </c>
      <c r="AE8" s="10">
        <v>-8126.7007000000012</v>
      </c>
      <c r="AF8" s="10">
        <v>1500</v>
      </c>
      <c r="AG8" s="10">
        <v>-15.748207990296535</v>
      </c>
      <c r="AH8" s="10">
        <v>170.34049817774994</v>
      </c>
      <c r="AI8" s="10">
        <v>2.1569576426225586E-3</v>
      </c>
      <c r="AJ8" s="10">
        <v>2142484.8432777016</v>
      </c>
      <c r="AK8" s="10">
        <v>-1375.9489869736453</v>
      </c>
      <c r="AL8" s="10">
        <v>-7.6343200000000008E-8</v>
      </c>
      <c r="AM8" s="10">
        <v>-17603.700700000001</v>
      </c>
      <c r="AN8" s="10">
        <v>3000</v>
      </c>
      <c r="AO8" s="10">
        <v>-12.212107990296538</v>
      </c>
      <c r="AP8" s="10">
        <v>145.12269028891322</v>
      </c>
      <c r="AQ8" s="10">
        <v>8.2546364262255816E-4</v>
      </c>
      <c r="AR8" s="10">
        <v>2190669.3432777016</v>
      </c>
      <c r="AS8" s="10">
        <v>-1452.2529869736454</v>
      </c>
      <c r="AT8" s="10">
        <v>0</v>
      </c>
      <c r="AU8" s="10">
        <v>-12799</v>
      </c>
      <c r="AV8" s="13">
        <v>4500</v>
      </c>
      <c r="AW8" s="10">
        <v>2</v>
      </c>
      <c r="AX8" s="10">
        <v>15</v>
      </c>
      <c r="AY8" s="10">
        <v>1</v>
      </c>
      <c r="AZ8" s="10">
        <v>38</v>
      </c>
      <c r="BA8" s="10">
        <v>2</v>
      </c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</row>
    <row r="9" spans="1:161" s="14" customFormat="1" ht="13.15" x14ac:dyDescent="0.4">
      <c r="A9" s="14" t="s">
        <v>23</v>
      </c>
      <c r="B9" s="14" t="s">
        <v>1</v>
      </c>
      <c r="C9" s="14" t="s">
        <v>24</v>
      </c>
      <c r="D9" s="11">
        <v>26.037879999999998</v>
      </c>
      <c r="E9" s="14">
        <v>1.06E-3</v>
      </c>
      <c r="F9" s="14">
        <v>54190</v>
      </c>
      <c r="G9" s="14">
        <v>48.003999999999998</v>
      </c>
      <c r="H9" s="14">
        <v>2000</v>
      </c>
      <c r="I9" s="15">
        <v>12.321400000000001</v>
      </c>
      <c r="J9" s="14">
        <v>3.3172900000000001E-3</v>
      </c>
      <c r="K9" s="14">
        <v>128248</v>
      </c>
      <c r="L9" s="14">
        <v>-76.027602999999999</v>
      </c>
      <c r="M9" s="14">
        <v>-4.3582899999999998E-7</v>
      </c>
      <c r="N9" s="14">
        <v>-3074</v>
      </c>
      <c r="O9" s="17">
        <v>2000</v>
      </c>
      <c r="P9" s="14">
        <v>16.080079999999999</v>
      </c>
      <c r="Q9" s="14">
        <v>-151.48539894221034</v>
      </c>
      <c r="R9" s="14">
        <v>-3.7502519999999999E-3</v>
      </c>
      <c r="S9" s="14">
        <v>142191.5</v>
      </c>
      <c r="T9" s="14">
        <v>1157.0107939999998</v>
      </c>
      <c r="U9" s="14">
        <v>2.5074659999999999E-7</v>
      </c>
      <c r="V9" s="14">
        <v>47721.640200000002</v>
      </c>
      <c r="W9" s="17">
        <v>2000</v>
      </c>
      <c r="X9" s="14">
        <v>2</v>
      </c>
      <c r="Y9" s="14">
        <v>15</v>
      </c>
      <c r="Z9" s="14">
        <v>2</v>
      </c>
      <c r="AA9" s="14">
        <v>38</v>
      </c>
      <c r="AB9" s="14">
        <v>1</v>
      </c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</row>
    <row r="10" spans="1:161" s="14" customFormat="1" ht="13.15" x14ac:dyDescent="0.4">
      <c r="A10" s="14" t="s">
        <v>12</v>
      </c>
      <c r="B10" s="14" t="s">
        <v>1</v>
      </c>
      <c r="C10" s="14" t="s">
        <v>13</v>
      </c>
      <c r="D10" s="11">
        <v>28.010399999999997</v>
      </c>
      <c r="E10" s="14">
        <v>1.15E-3</v>
      </c>
      <c r="F10" s="14">
        <v>-26417</v>
      </c>
      <c r="G10" s="14">
        <v>47.216999999999999</v>
      </c>
      <c r="H10" s="18">
        <v>5000</v>
      </c>
      <c r="I10" s="15">
        <v>12.8552</v>
      </c>
      <c r="J10" s="19">
        <v>-2.9276699999999998E-4</v>
      </c>
      <c r="K10" s="14">
        <v>-270876</v>
      </c>
      <c r="L10" s="14">
        <v>-294.25799999999998</v>
      </c>
      <c r="M10" s="20">
        <v>1.6807400000000001E-8</v>
      </c>
      <c r="N10" s="14">
        <v>2182</v>
      </c>
      <c r="O10" s="17">
        <v>5000</v>
      </c>
      <c r="P10" s="14">
        <v>6.872049999999998</v>
      </c>
      <c r="Q10" s="14">
        <v>-81.91392303707083</v>
      </c>
      <c r="R10" s="14">
        <v>-8.7487749999999999E-4</v>
      </c>
      <c r="S10" s="21">
        <v>-30737</v>
      </c>
      <c r="T10" s="14">
        <v>507.87199999999996</v>
      </c>
      <c r="U10" s="14">
        <v>5.5132174999999993E-8</v>
      </c>
      <c r="V10" s="14">
        <v>-28621.763149999999</v>
      </c>
      <c r="W10" s="14">
        <v>3000</v>
      </c>
      <c r="X10" s="14">
        <v>-3.0916999999999994</v>
      </c>
      <c r="Y10" s="14">
        <v>11.169347318626084</v>
      </c>
      <c r="Z10" s="14">
        <v>5.1951699999999994E-4</v>
      </c>
      <c r="AA10" s="14">
        <v>-135438</v>
      </c>
      <c r="AB10" s="14">
        <v>-588.51599999999996</v>
      </c>
      <c r="AC10" s="10">
        <v>-8.4037000000000007E-9</v>
      </c>
      <c r="AD10" s="10">
        <v>-19298.5</v>
      </c>
      <c r="AE10" s="13">
        <v>5000</v>
      </c>
      <c r="AF10" s="10">
        <v>2</v>
      </c>
      <c r="AG10" s="10">
        <v>15</v>
      </c>
      <c r="AH10" s="10">
        <v>1</v>
      </c>
      <c r="AI10" s="10">
        <v>65</v>
      </c>
      <c r="AJ10" s="10">
        <v>0.5</v>
      </c>
      <c r="AK10" s="10"/>
      <c r="AL10" s="10"/>
      <c r="AM10" s="10"/>
      <c r="AN10" s="13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</row>
    <row r="11" spans="1:161" s="14" customFormat="1" ht="13.15" x14ac:dyDescent="0.4">
      <c r="A11" s="14" t="s">
        <v>14</v>
      </c>
      <c r="B11" s="14" t="s">
        <v>1</v>
      </c>
      <c r="C11" s="14" t="s">
        <v>15</v>
      </c>
      <c r="D11" s="11">
        <v>44.009799999999998</v>
      </c>
      <c r="E11" s="14">
        <v>1.8E-3</v>
      </c>
      <c r="F11" s="14">
        <v>-94051</v>
      </c>
      <c r="G11" s="14">
        <v>51.07</v>
      </c>
      <c r="H11" s="18">
        <v>5000</v>
      </c>
      <c r="I11" s="15">
        <v>21.852599999999999</v>
      </c>
      <c r="J11" s="14">
        <v>-5.3781800000000002E-4</v>
      </c>
      <c r="K11" s="14">
        <v>-191977</v>
      </c>
      <c r="L11" s="14">
        <v>-511.67869999999999</v>
      </c>
      <c r="M11" s="20">
        <v>3.3209700000000001E-8</v>
      </c>
      <c r="N11" s="14">
        <v>3011</v>
      </c>
      <c r="O11" s="17">
        <v>5000</v>
      </c>
      <c r="P11" s="14">
        <v>4.2981999999999978</v>
      </c>
      <c r="Q11" s="14">
        <v>-37.802219890004778</v>
      </c>
      <c r="R11" s="14">
        <v>-8.6166499999999996E-4</v>
      </c>
      <c r="S11" s="14">
        <v>45307</v>
      </c>
      <c r="T11" s="14">
        <v>322.14260000000002</v>
      </c>
      <c r="U11" s="14">
        <v>6.3131100000000003E-8</v>
      </c>
      <c r="V11" s="14">
        <v>-95927.52</v>
      </c>
      <c r="W11" s="14">
        <v>3000</v>
      </c>
      <c r="X11" s="14">
        <v>-7.8455999999999992</v>
      </c>
      <c r="Y11" s="14">
        <v>75.711258080079574</v>
      </c>
      <c r="Z11" s="14">
        <v>8.51318E-4</v>
      </c>
      <c r="AA11" s="14">
        <v>-95988.5</v>
      </c>
      <c r="AB11" s="14">
        <v>-1023.3574</v>
      </c>
      <c r="AC11" s="10">
        <v>-1.6604850000000001E-8</v>
      </c>
      <c r="AD11" s="10">
        <v>-84305</v>
      </c>
      <c r="AE11" s="13">
        <v>5000</v>
      </c>
      <c r="AF11" s="10">
        <v>2</v>
      </c>
      <c r="AG11" s="10">
        <v>15</v>
      </c>
      <c r="AH11" s="10">
        <v>1</v>
      </c>
      <c r="AI11" s="10">
        <v>65</v>
      </c>
      <c r="AJ11" s="10">
        <v>1</v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</row>
    <row r="12" spans="1:161" s="14" customFormat="1" ht="13.15" x14ac:dyDescent="0.4">
      <c r="A12" s="14" t="s">
        <v>16</v>
      </c>
      <c r="B12" s="14" t="s">
        <v>1</v>
      </c>
      <c r="C12" s="14" t="s">
        <v>40</v>
      </c>
      <c r="D12" s="11">
        <v>18.015280000000001</v>
      </c>
      <c r="E12" s="14">
        <v>7.3999999999999999E-4</v>
      </c>
      <c r="F12" s="14">
        <v>-57795</v>
      </c>
      <c r="G12" s="14">
        <v>45.106000000000002</v>
      </c>
      <c r="H12" s="18">
        <v>5000</v>
      </c>
      <c r="I12" s="15">
        <v>4.7301998000000003</v>
      </c>
      <c r="J12" s="14">
        <v>2.48065E-3</v>
      </c>
      <c r="K12" s="14">
        <v>-15523</v>
      </c>
      <c r="L12" s="14">
        <v>59.040000999999997</v>
      </c>
      <c r="M12" s="14">
        <v>-2.5751300000000001E-7</v>
      </c>
      <c r="N12" s="14">
        <v>-2591</v>
      </c>
      <c r="O12" s="14">
        <v>3000</v>
      </c>
      <c r="P12" s="14">
        <v>0</v>
      </c>
      <c r="Q12" s="10" t="s">
        <v>11</v>
      </c>
      <c r="R12" s="14">
        <v>13.92501</v>
      </c>
      <c r="S12" s="20">
        <v>6.3522700000000001E-5</v>
      </c>
      <c r="T12" s="14">
        <v>8672045</v>
      </c>
      <c r="U12" s="14">
        <v>0</v>
      </c>
      <c r="V12" s="14">
        <v>0</v>
      </c>
      <c r="W12" s="14">
        <v>-15036</v>
      </c>
      <c r="X12" s="17">
        <v>5000</v>
      </c>
      <c r="Y12" s="14">
        <v>3.4874501999999987</v>
      </c>
      <c r="Z12" s="14">
        <v>-11.816621479674723</v>
      </c>
      <c r="AA12" s="14">
        <v>-1.2738385E-3</v>
      </c>
      <c r="AB12" s="14">
        <v>-29312.5</v>
      </c>
      <c r="AC12" s="14">
        <v>-18.293998000000002</v>
      </c>
      <c r="AD12" s="14">
        <v>8.3117074999999997E-8</v>
      </c>
      <c r="AE12" s="14">
        <v>-56509.104050000002</v>
      </c>
      <c r="AF12" s="14">
        <v>3000</v>
      </c>
      <c r="AG12" s="14">
        <v>-2.2275100000000005</v>
      </c>
      <c r="AH12" s="14">
        <v>33.024213573713517</v>
      </c>
      <c r="AI12" s="14">
        <v>2.5822729999999997E-4</v>
      </c>
      <c r="AJ12" s="14">
        <v>4336022.5</v>
      </c>
      <c r="AK12" s="10">
        <v>0</v>
      </c>
      <c r="AL12" s="10">
        <v>0</v>
      </c>
      <c r="AM12" s="10">
        <v>-67764.5</v>
      </c>
      <c r="AN12" s="13">
        <v>5000</v>
      </c>
      <c r="AO12" s="10">
        <v>2</v>
      </c>
      <c r="AP12" s="10">
        <v>38</v>
      </c>
      <c r="AQ12" s="10">
        <v>1</v>
      </c>
      <c r="AR12" s="10">
        <v>65</v>
      </c>
      <c r="AS12" s="10">
        <v>0.5</v>
      </c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</row>
    <row r="13" spans="1:161" s="14" customFormat="1" ht="13.15" x14ac:dyDescent="0.4">
      <c r="A13" s="14" t="s">
        <v>17</v>
      </c>
      <c r="B13" s="14" t="s">
        <v>1</v>
      </c>
      <c r="C13" s="14" t="s">
        <v>41</v>
      </c>
      <c r="D13" s="11">
        <v>34.081880000000005</v>
      </c>
      <c r="E13" s="14">
        <v>1.39E-3</v>
      </c>
      <c r="F13" s="14">
        <v>-4930</v>
      </c>
      <c r="G13" s="14">
        <v>49.151000000000003</v>
      </c>
      <c r="H13" s="14">
        <v>2000</v>
      </c>
      <c r="I13" s="15">
        <v>5.7779799000000001</v>
      </c>
      <c r="J13" s="14">
        <v>3.2925699999999999E-3</v>
      </c>
      <c r="K13" s="14">
        <v>-50064.898000000001</v>
      </c>
      <c r="L13" s="14">
        <v>0</v>
      </c>
      <c r="M13" s="14">
        <v>-4.9698700000000003E-7</v>
      </c>
      <c r="N13" s="14">
        <v>-1834</v>
      </c>
      <c r="O13" s="17">
        <v>2000</v>
      </c>
      <c r="P13" s="14">
        <v>4.1900998999999999</v>
      </c>
      <c r="Q13" s="14">
        <v>-26.915453029335627</v>
      </c>
      <c r="R13" s="14">
        <v>-3.57092E-3</v>
      </c>
      <c r="S13" s="14">
        <v>-160977.94899999999</v>
      </c>
      <c r="T13" s="14">
        <v>-385.48599999999999</v>
      </c>
      <c r="U13" s="14">
        <v>1.86654E-7</v>
      </c>
      <c r="V13" s="14">
        <v>419.98580000000038</v>
      </c>
      <c r="W13" s="14">
        <v>368.3</v>
      </c>
      <c r="X13" s="14">
        <v>1.9270999</v>
      </c>
      <c r="Y13" s="14">
        <v>-11.732507343394966</v>
      </c>
      <c r="Z13" s="14">
        <v>-1.8249199999999998E-3</v>
      </c>
      <c r="AA13" s="14">
        <v>-83177.948999999993</v>
      </c>
      <c r="AB13" s="14">
        <v>-385.48599999999999</v>
      </c>
      <c r="AC13" s="14">
        <v>1.86654E-7</v>
      </c>
      <c r="AD13" s="14">
        <v>-695.1228000000001</v>
      </c>
      <c r="AE13" s="14">
        <v>388.36</v>
      </c>
      <c r="AF13" s="14">
        <v>-6.1999000000000004</v>
      </c>
      <c r="AG13" s="14">
        <v>36.193021741929321</v>
      </c>
      <c r="AH13" s="14">
        <v>1.0686080000000001E-2</v>
      </c>
      <c r="AI13" s="14">
        <v>-83177.948999999993</v>
      </c>
      <c r="AJ13" s="14">
        <v>-385.48599999999999</v>
      </c>
      <c r="AK13" s="14">
        <v>1.86654E-7</v>
      </c>
      <c r="AL13" s="14">
        <v>-2377.3719803000004</v>
      </c>
      <c r="AM13" s="14">
        <v>432</v>
      </c>
      <c r="AN13" s="14">
        <v>-0.77590000000000003</v>
      </c>
      <c r="AO13" s="14">
        <v>10.16500770794622</v>
      </c>
      <c r="AP13" s="14">
        <v>-1.8291999999999961E-4</v>
      </c>
      <c r="AQ13" s="14">
        <v>461822.05099999998</v>
      </c>
      <c r="AR13" s="14">
        <v>-385.48599999999999</v>
      </c>
      <c r="AS13" s="14">
        <v>1.86654E-7</v>
      </c>
      <c r="AT13" s="14">
        <v>-4585.7682999999997</v>
      </c>
      <c r="AU13" s="14">
        <v>881.8</v>
      </c>
      <c r="AV13" s="14">
        <v>9.9899900000000486E-2</v>
      </c>
      <c r="AW13" s="14">
        <v>19.622850421215102</v>
      </c>
      <c r="AX13" s="14">
        <v>-1.6214899999999997E-3</v>
      </c>
      <c r="AY13" s="14">
        <v>-97159.448999999993</v>
      </c>
      <c r="AZ13" s="14">
        <v>-385.48599999999999</v>
      </c>
      <c r="BA13" s="14">
        <v>1.7765400000000001E-7</v>
      </c>
      <c r="BB13" s="14">
        <v>-16405.386200000001</v>
      </c>
      <c r="BC13" s="17">
        <v>2000</v>
      </c>
      <c r="BD13" s="14">
        <v>2</v>
      </c>
      <c r="BE13" s="14">
        <v>38</v>
      </c>
      <c r="BF13" s="14">
        <v>1</v>
      </c>
      <c r="BG13" s="14">
        <v>81</v>
      </c>
      <c r="BH13" s="14">
        <v>1</v>
      </c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</row>
    <row r="14" spans="1:161" s="14" customFormat="1" ht="13.15" x14ac:dyDescent="0.4">
      <c r="A14" s="9" t="s">
        <v>18</v>
      </c>
      <c r="B14" s="10" t="s">
        <v>1</v>
      </c>
      <c r="C14" s="10" t="s">
        <v>22</v>
      </c>
      <c r="D14" s="11">
        <v>28.013480000000001</v>
      </c>
      <c r="E14" s="10">
        <v>1.1460000000000001E-3</v>
      </c>
      <c r="F14" s="10">
        <v>0</v>
      </c>
      <c r="G14" s="10">
        <v>45.77</v>
      </c>
      <c r="H14" s="12">
        <v>5000</v>
      </c>
      <c r="I14" s="10">
        <v>9.1221999999999994</v>
      </c>
      <c r="J14" s="10">
        <v>3.9336599999999997E-4</v>
      </c>
      <c r="K14" s="10">
        <v>-121255</v>
      </c>
      <c r="L14" s="10">
        <v>-129.32599999999999</v>
      </c>
      <c r="M14" s="21">
        <v>-5.5943500000000001E-8</v>
      </c>
      <c r="N14" s="10">
        <v>-114</v>
      </c>
      <c r="O14" s="10">
        <v>3000</v>
      </c>
      <c r="P14" s="10">
        <v>0</v>
      </c>
      <c r="Q14" s="10" t="s">
        <v>11</v>
      </c>
      <c r="R14" s="10">
        <v>8.5109999999999992</v>
      </c>
      <c r="S14" s="10">
        <v>5.6499999999999998E-5</v>
      </c>
      <c r="T14" s="10">
        <v>0</v>
      </c>
      <c r="U14" s="10">
        <v>0</v>
      </c>
      <c r="V14" s="10">
        <v>0</v>
      </c>
      <c r="W14" s="10">
        <v>-3883</v>
      </c>
      <c r="X14" s="13">
        <v>5000</v>
      </c>
      <c r="Y14" s="14">
        <v>1</v>
      </c>
      <c r="Z14" s="14">
        <v>57</v>
      </c>
      <c r="AA14" s="14">
        <v>1</v>
      </c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</row>
    <row r="15" spans="1:161" s="14" customFormat="1" ht="13.15" x14ac:dyDescent="0.4">
      <c r="A15" s="14" t="s">
        <v>19</v>
      </c>
      <c r="B15" s="14" t="s">
        <v>1</v>
      </c>
      <c r="C15" s="14" t="s">
        <v>42</v>
      </c>
      <c r="D15" s="11">
        <v>64.064800000000005</v>
      </c>
      <c r="E15" s="14">
        <v>2.6199999999999999E-3</v>
      </c>
      <c r="F15" s="14">
        <v>-70940</v>
      </c>
      <c r="G15" s="14">
        <v>59.3</v>
      </c>
      <c r="H15" s="18">
        <v>5000</v>
      </c>
      <c r="I15" s="15">
        <v>22.435699</v>
      </c>
      <c r="J15" s="14">
        <v>-1.06697E-3</v>
      </c>
      <c r="K15" s="14">
        <v>-170359</v>
      </c>
      <c r="L15" s="14">
        <v>-490.81099999999998</v>
      </c>
      <c r="M15" s="14">
        <v>9.9298299999999997E-8</v>
      </c>
      <c r="N15" s="14">
        <v>2449</v>
      </c>
      <c r="O15" s="14">
        <v>3000</v>
      </c>
      <c r="P15" s="14">
        <v>0</v>
      </c>
      <c r="Q15" s="14" t="s">
        <v>11</v>
      </c>
      <c r="R15" s="14">
        <v>13.8592</v>
      </c>
      <c r="S15" s="22">
        <v>7.9166999999999996E-5</v>
      </c>
      <c r="T15" s="14">
        <v>1008000</v>
      </c>
      <c r="U15" s="14">
        <v>0</v>
      </c>
      <c r="V15" s="14">
        <v>0</v>
      </c>
      <c r="W15" s="14">
        <v>-6731</v>
      </c>
      <c r="X15" s="17">
        <v>5000</v>
      </c>
      <c r="Y15" s="14">
        <v>-1.4145990000000026</v>
      </c>
      <c r="Z15" s="14">
        <v>20.496750127197799</v>
      </c>
      <c r="AA15" s="14">
        <v>-1.1137069999999998E-3</v>
      </c>
      <c r="AB15" s="14">
        <v>-89790.5</v>
      </c>
      <c r="AC15" s="14">
        <v>-483.39799999999997</v>
      </c>
      <c r="AD15" s="14">
        <v>-1.7248999999999998E-8</v>
      </c>
      <c r="AE15" s="14">
        <v>-66686.180699999997</v>
      </c>
      <c r="AF15" s="14">
        <v>368.3</v>
      </c>
      <c r="AG15" s="14">
        <v>-3.6775991999999995</v>
      </c>
      <c r="AH15" s="14">
        <v>35.67969719491802</v>
      </c>
      <c r="AI15" s="14">
        <v>6.3229299999999992E-4</v>
      </c>
      <c r="AJ15" s="14">
        <v>-11990.5</v>
      </c>
      <c r="AK15" s="14">
        <v>-483.39799999999997</v>
      </c>
      <c r="AL15" s="14">
        <v>-1.7248999999999998E-8</v>
      </c>
      <c r="AM15" s="14">
        <v>-67801.289300000004</v>
      </c>
      <c r="AN15" s="14">
        <v>388.36</v>
      </c>
      <c r="AO15" s="14">
        <v>-11.804599100000001</v>
      </c>
      <c r="AP15" s="14">
        <v>83.605226280242306</v>
      </c>
      <c r="AQ15" s="14">
        <v>1.3143293E-2</v>
      </c>
      <c r="AR15" s="14">
        <v>-11990.5</v>
      </c>
      <c r="AS15" s="14">
        <v>-483.39799999999997</v>
      </c>
      <c r="AT15" s="14">
        <v>-1.7248999999999998E-8</v>
      </c>
      <c r="AU15" s="14">
        <v>-69483.513699999996</v>
      </c>
      <c r="AV15" s="14">
        <v>432</v>
      </c>
      <c r="AW15" s="14">
        <v>-6.3805991000000013</v>
      </c>
      <c r="AX15" s="14">
        <v>57.577212246259251</v>
      </c>
      <c r="AY15" s="14">
        <v>2.2742930000000001E-3</v>
      </c>
      <c r="AZ15" s="14">
        <v>533009.5</v>
      </c>
      <c r="BA15" s="14">
        <v>-483.39799999999997</v>
      </c>
      <c r="BB15" s="14">
        <v>-1.7248999999999998E-8</v>
      </c>
      <c r="BC15" s="17">
        <v>-71691.934800000003</v>
      </c>
      <c r="BD15" s="14">
        <v>881.8</v>
      </c>
      <c r="BE15" s="14">
        <v>-5.5047992000000008</v>
      </c>
      <c r="BF15" s="14">
        <v>67.035054959528125</v>
      </c>
      <c r="BG15" s="14">
        <v>8.3572300000000002E-4</v>
      </c>
      <c r="BH15" s="14">
        <v>-25972</v>
      </c>
      <c r="BI15" s="10">
        <v>-483.39799999999997</v>
      </c>
      <c r="BJ15" s="10">
        <v>-2.6248999999999999E-8</v>
      </c>
      <c r="BK15" s="10">
        <v>-83511.5527</v>
      </c>
      <c r="BL15" s="10">
        <v>3000</v>
      </c>
      <c r="BM15" s="10">
        <v>-0.71319999999999872</v>
      </c>
      <c r="BN15" s="10">
        <v>22.944854291032279</v>
      </c>
      <c r="BO15" s="10">
        <v>1.4783299999999999E-4</v>
      </c>
      <c r="BP15" s="10">
        <v>504000</v>
      </c>
      <c r="BQ15" s="10">
        <v>0</v>
      </c>
      <c r="BR15" s="10">
        <v>0</v>
      </c>
      <c r="BS15" s="10">
        <v>-87502</v>
      </c>
      <c r="BT15" s="13">
        <v>5000</v>
      </c>
      <c r="BU15" s="10">
        <v>2</v>
      </c>
      <c r="BV15" s="10">
        <v>81</v>
      </c>
      <c r="BW15" s="10">
        <v>1</v>
      </c>
      <c r="BX15" s="10">
        <v>65</v>
      </c>
      <c r="BY15" s="10">
        <v>1</v>
      </c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</row>
    <row r="16" spans="1:161" s="29" customFormat="1" ht="13.15" x14ac:dyDescent="0.4">
      <c r="A16" s="23" t="s">
        <v>43</v>
      </c>
      <c r="B16" s="24" t="s">
        <v>1</v>
      </c>
      <c r="C16" s="24" t="s">
        <v>44</v>
      </c>
      <c r="D16" s="25">
        <v>31.998799999999999</v>
      </c>
      <c r="E16" s="24">
        <v>1.31E-3</v>
      </c>
      <c r="F16" s="24">
        <v>0</v>
      </c>
      <c r="G16" s="24">
        <v>49.005000000000003</v>
      </c>
      <c r="H16" s="26">
        <v>5000</v>
      </c>
      <c r="I16" s="24">
        <v>12.847099999999999</v>
      </c>
      <c r="J16" s="24">
        <v>-4.6367700000000001E-4</v>
      </c>
      <c r="K16" s="24">
        <v>-146378</v>
      </c>
      <c r="L16" s="24">
        <v>-249.11199999999999</v>
      </c>
      <c r="M16" s="27">
        <v>6.4800300000000001E-8</v>
      </c>
      <c r="N16" s="24">
        <v>1002</v>
      </c>
      <c r="O16" s="24">
        <v>3000</v>
      </c>
      <c r="P16" s="24">
        <v>0</v>
      </c>
      <c r="Q16" s="24" t="s">
        <v>11</v>
      </c>
      <c r="R16" s="24">
        <v>8.4870000000000001</v>
      </c>
      <c r="S16" s="24">
        <v>1.7349999999999999E-4</v>
      </c>
      <c r="T16" s="24">
        <v>0</v>
      </c>
      <c r="U16" s="24">
        <v>0</v>
      </c>
      <c r="V16" s="24">
        <v>0</v>
      </c>
      <c r="W16" s="24">
        <v>-3597</v>
      </c>
      <c r="X16" s="28">
        <v>5000</v>
      </c>
      <c r="Y16" s="29">
        <v>1</v>
      </c>
      <c r="Z16" s="29">
        <v>65</v>
      </c>
      <c r="AA16" s="29">
        <v>1</v>
      </c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</row>
    <row r="17" spans="1:161" s="42" customFormat="1" ht="13.15" x14ac:dyDescent="0.4">
      <c r="A17" s="37" t="s">
        <v>47</v>
      </c>
      <c r="B17" s="38" t="s">
        <v>1</v>
      </c>
      <c r="C17" s="38" t="s">
        <v>48</v>
      </c>
      <c r="D17" s="39">
        <v>2.0158800000000001</v>
      </c>
      <c r="E17" s="38">
        <v>8.0000000000000007E-5</v>
      </c>
      <c r="F17" s="38">
        <v>0</v>
      </c>
      <c r="G17" s="38">
        <v>31.207000000000001</v>
      </c>
      <c r="H17" s="40">
        <v>5000</v>
      </c>
      <c r="I17" s="38">
        <v>1.7940799999999999</v>
      </c>
      <c r="J17" s="38">
        <v>1.4386500000000001E-3</v>
      </c>
      <c r="K17" s="38">
        <v>116291</v>
      </c>
      <c r="L17" s="38">
        <v>192.74299999999999</v>
      </c>
      <c r="M17" s="41">
        <v>-1.2367900000000001E-7</v>
      </c>
      <c r="N17" s="38">
        <v>-4378</v>
      </c>
      <c r="O17" s="38">
        <v>3000</v>
      </c>
      <c r="P17" s="38">
        <v>0</v>
      </c>
      <c r="Q17" s="38" t="s">
        <v>11</v>
      </c>
      <c r="R17" s="38">
        <v>7.4539999999999997</v>
      </c>
      <c r="S17" s="38">
        <v>2.3499999999999999E-4</v>
      </c>
      <c r="T17" s="38">
        <v>0</v>
      </c>
      <c r="U17" s="38">
        <v>0</v>
      </c>
      <c r="V17" s="38">
        <v>0</v>
      </c>
      <c r="W17" s="38">
        <v>-3268</v>
      </c>
      <c r="X17" s="28">
        <v>5000</v>
      </c>
      <c r="Y17" s="38">
        <v>1</v>
      </c>
      <c r="Z17" s="38">
        <v>38</v>
      </c>
      <c r="AA17" s="38">
        <v>1</v>
      </c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  <c r="DO17" s="38"/>
      <c r="DP17" s="38"/>
      <c r="DQ17" s="38"/>
      <c r="DR17" s="38"/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  <c r="ED17" s="38"/>
      <c r="EE17" s="38"/>
      <c r="EF17" s="38"/>
      <c r="EG17" s="38"/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38"/>
      <c r="EX17" s="38"/>
      <c r="EY17" s="38"/>
      <c r="EZ17" s="38"/>
      <c r="FA17" s="38"/>
      <c r="FB17" s="38"/>
      <c r="FC17" s="38"/>
      <c r="FD17" s="38"/>
      <c r="FE17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2D7EA-CF62-4865-AD8C-7AF523E6BFFB}">
  <dimension ref="A1:O2"/>
  <sheetViews>
    <sheetView tabSelected="1" workbookViewId="0">
      <selection activeCell="L13" sqref="L13"/>
    </sheetView>
  </sheetViews>
  <sheetFormatPr defaultRowHeight="14.25" x14ac:dyDescent="0.45"/>
  <cols>
    <col min="1" max="10" width="9.06640625" style="49"/>
    <col min="11" max="11" width="9.796875" style="49" bestFit="1" customWidth="1"/>
    <col min="12" max="16384" width="9.06640625" style="49"/>
  </cols>
  <sheetData>
    <row r="1" spans="1:15" x14ac:dyDescent="0.45">
      <c r="A1" s="45" t="s">
        <v>0</v>
      </c>
      <c r="B1" s="46" t="s">
        <v>3</v>
      </c>
      <c r="C1" s="46" t="s">
        <v>4</v>
      </c>
      <c r="D1" s="46" t="s">
        <v>5</v>
      </c>
      <c r="E1" s="46" t="s">
        <v>7</v>
      </c>
      <c r="F1" s="46" t="s">
        <v>9</v>
      </c>
      <c r="G1" s="46" t="s">
        <v>23</v>
      </c>
      <c r="H1" s="46" t="s">
        <v>12</v>
      </c>
      <c r="I1" s="46" t="s">
        <v>14</v>
      </c>
      <c r="J1" s="46" t="s">
        <v>16</v>
      </c>
      <c r="K1" s="46" t="s">
        <v>17</v>
      </c>
      <c r="L1" s="45" t="s">
        <v>18</v>
      </c>
      <c r="M1" s="46" t="s">
        <v>19</v>
      </c>
      <c r="N1" s="47" t="s">
        <v>43</v>
      </c>
      <c r="O1" s="48" t="s">
        <v>47</v>
      </c>
    </row>
    <row r="2" spans="1:15" x14ac:dyDescent="0.45">
      <c r="A2" s="50">
        <v>0</v>
      </c>
      <c r="B2" s="50">
        <v>12540</v>
      </c>
      <c r="C2" s="50">
        <v>-20240</v>
      </c>
      <c r="D2" s="50">
        <v>-24820</v>
      </c>
      <c r="E2" s="50">
        <v>-30150</v>
      </c>
      <c r="F2" s="50">
        <v>-17880</v>
      </c>
      <c r="G2" s="50">
        <v>54190</v>
      </c>
      <c r="H2" s="50">
        <v>-26417</v>
      </c>
      <c r="I2" s="50">
        <v>-94051</v>
      </c>
      <c r="J2" s="50">
        <v>-57795</v>
      </c>
      <c r="K2" s="50">
        <v>-4930</v>
      </c>
      <c r="L2" s="50">
        <v>0</v>
      </c>
      <c r="M2" s="50">
        <v>-70940</v>
      </c>
      <c r="N2" s="51">
        <v>0</v>
      </c>
      <c r="O2" s="5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EDF6-178A-4FE0-B940-B701484FEA4A}">
  <dimension ref="A1:O7"/>
  <sheetViews>
    <sheetView workbookViewId="0">
      <selection sqref="A1:XFD1"/>
    </sheetView>
  </sheetViews>
  <sheetFormatPr defaultRowHeight="14.25" x14ac:dyDescent="0.45"/>
  <cols>
    <col min="1" max="1" width="7.86328125" style="34" bestFit="1" customWidth="1"/>
    <col min="2" max="4" width="9.86328125" style="34" bestFit="1" customWidth="1"/>
    <col min="5" max="5" width="7.86328125" style="34" bestFit="1" customWidth="1"/>
    <col min="6" max="6" width="9.86328125" style="34" bestFit="1" customWidth="1"/>
    <col min="7" max="7" width="9.265625" style="34" bestFit="1" customWidth="1"/>
    <col min="8" max="9" width="9.86328125" style="34" bestFit="1" customWidth="1"/>
    <col min="10" max="10" width="10.59765625" style="34" bestFit="1" customWidth="1"/>
    <col min="11" max="11" width="8.86328125" style="34" bestFit="1" customWidth="1"/>
    <col min="12" max="14" width="9.86328125" style="34" bestFit="1" customWidth="1"/>
    <col min="15" max="15" width="10.73046875" style="34" bestFit="1" customWidth="1"/>
    <col min="16" max="16384" width="9.06640625" style="34"/>
  </cols>
  <sheetData>
    <row r="1" spans="1:15" ht="26.25" x14ac:dyDescent="0.45">
      <c r="A1" s="31" t="s">
        <v>2</v>
      </c>
      <c r="B1" s="32" t="s">
        <v>20</v>
      </c>
      <c r="C1" s="32" t="s">
        <v>21</v>
      </c>
      <c r="D1" s="32" t="s">
        <v>6</v>
      </c>
      <c r="E1" s="32" t="s">
        <v>8</v>
      </c>
      <c r="F1" s="32" t="s">
        <v>10</v>
      </c>
      <c r="G1" s="32" t="s">
        <v>24</v>
      </c>
      <c r="H1" s="32" t="s">
        <v>13</v>
      </c>
      <c r="I1" s="32" t="s">
        <v>15</v>
      </c>
      <c r="J1" s="32" t="s">
        <v>40</v>
      </c>
      <c r="K1" s="32" t="s">
        <v>41</v>
      </c>
      <c r="L1" s="31" t="s">
        <v>22</v>
      </c>
      <c r="M1" s="32" t="s">
        <v>42</v>
      </c>
      <c r="N1" s="33" t="s">
        <v>44</v>
      </c>
      <c r="O1" s="34" t="s">
        <v>49</v>
      </c>
    </row>
    <row r="2" spans="1:15" x14ac:dyDescent="0.45">
      <c r="A2" s="35">
        <v>4.968</v>
      </c>
      <c r="B2" s="35">
        <v>35.566101000000003</v>
      </c>
      <c r="C2" s="35">
        <v>25.331699</v>
      </c>
      <c r="D2" s="35">
        <v>51.161568000000003</v>
      </c>
      <c r="E2" s="35">
        <v>8.5860000000000003</v>
      </c>
      <c r="F2" s="35">
        <v>14.63201812010001</v>
      </c>
      <c r="G2" s="35">
        <v>12.321400000000001</v>
      </c>
      <c r="H2" s="35">
        <v>12.8552</v>
      </c>
      <c r="I2" s="35">
        <v>21.852599999999999</v>
      </c>
      <c r="J2" s="35">
        <v>4.7301998000000003</v>
      </c>
      <c r="K2" s="35">
        <v>5.7779799000000001</v>
      </c>
      <c r="L2" s="35">
        <v>9.1221999999999994</v>
      </c>
      <c r="M2" s="35">
        <v>22.435699</v>
      </c>
      <c r="N2" s="36">
        <v>12.847099999999999</v>
      </c>
      <c r="O2" s="43">
        <v>1.7940799999999999</v>
      </c>
    </row>
    <row r="3" spans="1:15" x14ac:dyDescent="0.45">
      <c r="A3" s="35">
        <v>0</v>
      </c>
      <c r="B3" s="35">
        <v>2.8169499999999999E-3</v>
      </c>
      <c r="C3" s="35">
        <v>1.14704E-2</v>
      </c>
      <c r="D3" s="35">
        <v>1.08697E-2</v>
      </c>
      <c r="E3" s="35">
        <v>2.623E-2</v>
      </c>
      <c r="F3" s="35">
        <v>6.6700545824712352E-3</v>
      </c>
      <c r="G3" s="35">
        <v>3.3172900000000001E-3</v>
      </c>
      <c r="H3" s="35">
        <v>-2.9276699999999998E-4</v>
      </c>
      <c r="I3" s="35">
        <v>-5.3781800000000002E-4</v>
      </c>
      <c r="J3" s="35">
        <v>2.48065E-3</v>
      </c>
      <c r="K3" s="35">
        <v>3.2925699999999999E-3</v>
      </c>
      <c r="L3" s="35">
        <v>3.9336599999999997E-4</v>
      </c>
      <c r="M3" s="35">
        <v>-1.06697E-3</v>
      </c>
      <c r="N3" s="36">
        <v>-4.6367700000000001E-4</v>
      </c>
      <c r="O3" s="43">
        <v>1.4386500000000001E-3</v>
      </c>
    </row>
    <row r="4" spans="1:15" x14ac:dyDescent="0.45">
      <c r="A4" s="35">
        <v>0</v>
      </c>
      <c r="B4" s="35">
        <v>-496444</v>
      </c>
      <c r="C4" s="35">
        <v>-382691</v>
      </c>
      <c r="D4" s="35">
        <v>-619973.68999999994</v>
      </c>
      <c r="E4" s="35">
        <v>0</v>
      </c>
      <c r="F4" s="35">
        <v>-400444.75399576762</v>
      </c>
      <c r="G4" s="35">
        <v>128248</v>
      </c>
      <c r="H4" s="35">
        <v>-270876</v>
      </c>
      <c r="I4" s="35">
        <v>-191977</v>
      </c>
      <c r="J4" s="35">
        <v>-15523</v>
      </c>
      <c r="K4" s="35">
        <v>-50064.898000000001</v>
      </c>
      <c r="L4" s="35">
        <v>-121255</v>
      </c>
      <c r="M4" s="35">
        <v>-170359</v>
      </c>
      <c r="N4" s="36">
        <v>-146378</v>
      </c>
      <c r="O4" s="43">
        <v>116291</v>
      </c>
    </row>
    <row r="5" spans="1:15" x14ac:dyDescent="0.45">
      <c r="A5" s="35">
        <v>0</v>
      </c>
      <c r="B5" s="35">
        <v>-1120.3900000000001</v>
      </c>
      <c r="C5" s="35">
        <v>-804.95203000000004</v>
      </c>
      <c r="D5" s="35">
        <v>-1603.2312999999999</v>
      </c>
      <c r="E5" s="35">
        <v>0</v>
      </c>
      <c r="F5" s="35">
        <v>-490.26693906601156</v>
      </c>
      <c r="G5" s="35">
        <v>-76.027602999999999</v>
      </c>
      <c r="H5" s="35">
        <v>-294.25799999999998</v>
      </c>
      <c r="I5" s="35">
        <v>-511.67869999999999</v>
      </c>
      <c r="J5" s="35">
        <v>59.040000999999997</v>
      </c>
      <c r="K5" s="35">
        <v>0</v>
      </c>
      <c r="L5" s="35">
        <v>-129.32599999999999</v>
      </c>
      <c r="M5" s="35">
        <v>-490.81099999999998</v>
      </c>
      <c r="N5" s="36">
        <v>-249.11199999999999</v>
      </c>
      <c r="O5" s="43">
        <v>192.74299999999999</v>
      </c>
    </row>
    <row r="6" spans="1:15" x14ac:dyDescent="0.45">
      <c r="A6" s="35">
        <v>0</v>
      </c>
      <c r="B6" s="35">
        <v>-5.1530300000000004E-7</v>
      </c>
      <c r="C6" s="35">
        <v>-2.20334E-6</v>
      </c>
      <c r="D6" s="35">
        <v>-2.0891500000000001E-6</v>
      </c>
      <c r="E6" s="35">
        <v>0</v>
      </c>
      <c r="F6" s="35">
        <v>-1.1567633035269733E-6</v>
      </c>
      <c r="G6" s="35">
        <v>-4.3582899999999998E-7</v>
      </c>
      <c r="H6" s="35">
        <v>1.6807400000000001E-8</v>
      </c>
      <c r="I6" s="35">
        <v>3.3209700000000001E-8</v>
      </c>
      <c r="J6" s="35">
        <v>-2.5751300000000001E-7</v>
      </c>
      <c r="K6" s="35">
        <v>-4.9698700000000003E-7</v>
      </c>
      <c r="L6" s="35">
        <v>-5.5943500000000001E-8</v>
      </c>
      <c r="M6" s="35">
        <v>9.9298299999999997E-8</v>
      </c>
      <c r="N6" s="36">
        <v>6.4800300000000001E-8</v>
      </c>
      <c r="O6" s="43">
        <v>-1.2367900000000001E-7</v>
      </c>
    </row>
    <row r="7" spans="1:15" x14ac:dyDescent="0.45">
      <c r="A7" s="35">
        <v>-1481</v>
      </c>
      <c r="B7" s="35">
        <v>10170</v>
      </c>
      <c r="C7" s="35">
        <v>6669</v>
      </c>
      <c r="D7" s="35">
        <v>13598</v>
      </c>
      <c r="E7" s="35">
        <v>-4898</v>
      </c>
      <c r="F7" s="35">
        <v>4884</v>
      </c>
      <c r="G7" s="35">
        <v>-3074</v>
      </c>
      <c r="H7" s="35">
        <v>2182</v>
      </c>
      <c r="I7" s="35">
        <v>3011</v>
      </c>
      <c r="J7" s="35">
        <v>-2591</v>
      </c>
      <c r="K7" s="35">
        <v>-1834</v>
      </c>
      <c r="L7" s="35">
        <v>-114</v>
      </c>
      <c r="M7" s="35">
        <v>2449</v>
      </c>
      <c r="N7" s="36">
        <v>1002</v>
      </c>
      <c r="O7" s="43">
        <v>-4378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687CC-0C0C-4A1A-A265-EEFE181B51B7}">
  <dimension ref="A1:O15"/>
  <sheetViews>
    <sheetView workbookViewId="0">
      <selection activeCell="C15" sqref="C15"/>
    </sheetView>
  </sheetViews>
  <sheetFormatPr defaultRowHeight="14.25" x14ac:dyDescent="0.45"/>
  <cols>
    <col min="1" max="1" width="7.86328125" style="34" bestFit="1" customWidth="1"/>
    <col min="2" max="4" width="9.86328125" style="34" bestFit="1" customWidth="1"/>
    <col min="5" max="5" width="7.86328125" style="34" bestFit="1" customWidth="1"/>
    <col min="6" max="6" width="9.86328125" style="34" bestFit="1" customWidth="1"/>
    <col min="7" max="7" width="9.265625" style="34" bestFit="1" customWidth="1"/>
    <col min="8" max="9" width="9.86328125" style="34" bestFit="1" customWidth="1"/>
    <col min="10" max="10" width="10.59765625" style="34" bestFit="1" customWidth="1"/>
    <col min="11" max="11" width="8.86328125" style="34" bestFit="1" customWidth="1"/>
    <col min="12" max="14" width="9.86328125" style="34" bestFit="1" customWidth="1"/>
    <col min="15" max="15" width="10.73046875" style="34" bestFit="1" customWidth="1"/>
    <col min="16" max="16384" width="9.06640625" style="34"/>
  </cols>
  <sheetData>
    <row r="1" spans="1:15" ht="26.25" x14ac:dyDescent="0.45">
      <c r="A1" s="31" t="s">
        <v>2</v>
      </c>
      <c r="B1" s="32" t="s">
        <v>20</v>
      </c>
      <c r="C1" s="32" t="s">
        <v>21</v>
      </c>
      <c r="D1" s="32" t="s">
        <v>6</v>
      </c>
      <c r="E1" s="32" t="s">
        <v>8</v>
      </c>
      <c r="F1" s="32" t="s">
        <v>10</v>
      </c>
      <c r="G1" s="32" t="s">
        <v>24</v>
      </c>
      <c r="H1" s="32" t="s">
        <v>13</v>
      </c>
      <c r="I1" s="32" t="s">
        <v>15</v>
      </c>
      <c r="J1" s="32" t="s">
        <v>40</v>
      </c>
      <c r="K1" s="32" t="s">
        <v>41</v>
      </c>
      <c r="L1" s="31" t="s">
        <v>22</v>
      </c>
      <c r="M1" s="32" t="s">
        <v>42</v>
      </c>
      <c r="N1" s="33" t="s">
        <v>44</v>
      </c>
      <c r="O1" s="34" t="s">
        <v>49</v>
      </c>
    </row>
    <row r="2" spans="1:15" x14ac:dyDescent="0.45">
      <c r="A2" s="35">
        <v>4.968</v>
      </c>
      <c r="B2" s="35">
        <v>35.566101000000003</v>
      </c>
      <c r="C2" s="35">
        <v>25.331699</v>
      </c>
      <c r="D2" s="35">
        <v>51.161568000000003</v>
      </c>
      <c r="E2" s="35">
        <v>8.5860000000000003</v>
      </c>
      <c r="F2" s="35">
        <v>14.63201812010001</v>
      </c>
      <c r="G2" s="35">
        <v>12.321400000000001</v>
      </c>
      <c r="H2" s="35">
        <v>12.8552</v>
      </c>
      <c r="I2" s="35">
        <v>21.852599999999999</v>
      </c>
      <c r="J2" s="35">
        <v>4.7301998000000003</v>
      </c>
      <c r="K2" s="35">
        <v>5.7779799000000001</v>
      </c>
      <c r="L2" s="35">
        <v>9.1221999999999994</v>
      </c>
      <c r="M2" s="35">
        <v>22.435699</v>
      </c>
      <c r="N2" s="36">
        <v>12.847099999999999</v>
      </c>
      <c r="O2" s="43">
        <v>1.7940799999999999</v>
      </c>
    </row>
    <row r="3" spans="1:15" x14ac:dyDescent="0.45">
      <c r="A3" s="35">
        <v>0</v>
      </c>
      <c r="B3" s="35">
        <v>2.8169499999999999E-3</v>
      </c>
      <c r="C3" s="35">
        <v>1.14704E-2</v>
      </c>
      <c r="D3" s="35">
        <v>1.08697E-2</v>
      </c>
      <c r="E3" s="35">
        <v>2.623E-2</v>
      </c>
      <c r="F3" s="35">
        <v>6.6700545824712352E-3</v>
      </c>
      <c r="G3" s="35">
        <v>3.3172900000000001E-3</v>
      </c>
      <c r="H3" s="35">
        <v>-2.9276699999999998E-4</v>
      </c>
      <c r="I3" s="35">
        <v>-5.3781800000000002E-4</v>
      </c>
      <c r="J3" s="35">
        <v>2.48065E-3</v>
      </c>
      <c r="K3" s="35">
        <v>3.2925699999999999E-3</v>
      </c>
      <c r="L3" s="35">
        <v>3.9336599999999997E-4</v>
      </c>
      <c r="M3" s="35">
        <v>-1.06697E-3</v>
      </c>
      <c r="N3" s="36">
        <v>-4.6367700000000001E-4</v>
      </c>
      <c r="O3" s="43">
        <v>1.4386500000000001E-3</v>
      </c>
    </row>
    <row r="4" spans="1:15" x14ac:dyDescent="0.45">
      <c r="A4" s="35">
        <v>0</v>
      </c>
      <c r="B4" s="35">
        <v>-496444</v>
      </c>
      <c r="C4" s="35">
        <v>-382691</v>
      </c>
      <c r="D4" s="35">
        <v>-619973.68999999994</v>
      </c>
      <c r="E4" s="35">
        <v>0</v>
      </c>
      <c r="F4" s="35">
        <v>-400444.75399576762</v>
      </c>
      <c r="G4" s="35">
        <v>128248</v>
      </c>
      <c r="H4" s="35">
        <v>-270876</v>
      </c>
      <c r="I4" s="35">
        <v>-191977</v>
      </c>
      <c r="J4" s="35">
        <v>-15523</v>
      </c>
      <c r="K4" s="35">
        <v>-50064.898000000001</v>
      </c>
      <c r="L4" s="35">
        <v>-121255</v>
      </c>
      <c r="M4" s="35">
        <v>-170359</v>
      </c>
      <c r="N4" s="36">
        <v>-146378</v>
      </c>
      <c r="O4" s="43">
        <v>116291</v>
      </c>
    </row>
    <row r="5" spans="1:15" x14ac:dyDescent="0.45">
      <c r="A5" s="35">
        <v>0</v>
      </c>
      <c r="B5" s="35">
        <v>-1120.3900000000001</v>
      </c>
      <c r="C5" s="35">
        <v>-804.95203000000004</v>
      </c>
      <c r="D5" s="35">
        <v>-1603.2312999999999</v>
      </c>
      <c r="E5" s="35">
        <v>0</v>
      </c>
      <c r="F5" s="35">
        <v>-490.26693906601156</v>
      </c>
      <c r="G5" s="35">
        <v>-76.027602999999999</v>
      </c>
      <c r="H5" s="35">
        <v>-294.25799999999998</v>
      </c>
      <c r="I5" s="35">
        <v>-511.67869999999999</v>
      </c>
      <c r="J5" s="35">
        <v>59.040000999999997</v>
      </c>
      <c r="K5" s="35">
        <v>0</v>
      </c>
      <c r="L5" s="35">
        <v>-129.32599999999999</v>
      </c>
      <c r="M5" s="35">
        <v>-490.81099999999998</v>
      </c>
      <c r="N5" s="36">
        <v>-249.11199999999999</v>
      </c>
      <c r="O5" s="43">
        <v>192.74299999999999</v>
      </c>
    </row>
    <row r="6" spans="1:15" x14ac:dyDescent="0.45">
      <c r="A6" s="35">
        <v>0</v>
      </c>
      <c r="B6" s="35">
        <v>-5.1530300000000004E-7</v>
      </c>
      <c r="C6" s="35">
        <v>-2.20334E-6</v>
      </c>
      <c r="D6" s="35">
        <v>-2.0891500000000001E-6</v>
      </c>
      <c r="E6" s="35">
        <v>0</v>
      </c>
      <c r="F6" s="35">
        <v>-1.1567633035269733E-6</v>
      </c>
      <c r="G6" s="35">
        <v>-4.3582899999999998E-7</v>
      </c>
      <c r="H6" s="35">
        <v>1.6807400000000001E-8</v>
      </c>
      <c r="I6" s="35">
        <v>3.3209700000000001E-8</v>
      </c>
      <c r="J6" s="35">
        <v>-2.5751300000000001E-7</v>
      </c>
      <c r="K6" s="35">
        <v>-4.9698700000000003E-7</v>
      </c>
      <c r="L6" s="35">
        <v>-5.5943500000000001E-8</v>
      </c>
      <c r="M6" s="35">
        <v>9.9298299999999997E-8</v>
      </c>
      <c r="N6" s="36">
        <v>6.4800300000000001E-8</v>
      </c>
      <c r="O6" s="43">
        <v>-1.2367900000000001E-7</v>
      </c>
    </row>
    <row r="7" spans="1:15" x14ac:dyDescent="0.45">
      <c r="A7" s="35">
        <v>-1481</v>
      </c>
      <c r="B7" s="35">
        <v>10170</v>
      </c>
      <c r="C7" s="35">
        <v>6669</v>
      </c>
      <c r="D7" s="35">
        <v>13598</v>
      </c>
      <c r="E7" s="35">
        <v>-4898</v>
      </c>
      <c r="F7" s="35">
        <v>4884</v>
      </c>
      <c r="G7" s="35">
        <v>-3074</v>
      </c>
      <c r="H7" s="35">
        <v>2182</v>
      </c>
      <c r="I7" s="35">
        <v>3011</v>
      </c>
      <c r="J7" s="35">
        <v>-2591</v>
      </c>
      <c r="K7" s="35">
        <v>-1834</v>
      </c>
      <c r="L7" s="35">
        <v>-114</v>
      </c>
      <c r="M7" s="35">
        <v>2449</v>
      </c>
      <c r="N7" s="36">
        <v>1002</v>
      </c>
      <c r="O7" s="43">
        <v>-4378</v>
      </c>
    </row>
    <row r="9" spans="1:15" x14ac:dyDescent="0.45">
      <c r="A9" s="44">
        <v>298</v>
      </c>
      <c r="B9" s="44">
        <v>298</v>
      </c>
      <c r="C9" s="44">
        <v>298</v>
      </c>
      <c r="D9" s="44">
        <v>298</v>
      </c>
      <c r="E9" s="44">
        <v>298</v>
      </c>
      <c r="F9" s="44">
        <v>298</v>
      </c>
      <c r="G9" s="44">
        <v>298</v>
      </c>
      <c r="H9" s="44">
        <v>298</v>
      </c>
      <c r="I9" s="44">
        <v>298</v>
      </c>
      <c r="J9" s="44">
        <v>298</v>
      </c>
      <c r="K9" s="44">
        <v>298</v>
      </c>
      <c r="L9" s="44">
        <v>298</v>
      </c>
      <c r="M9" s="44">
        <v>298</v>
      </c>
      <c r="N9" s="44">
        <v>298</v>
      </c>
      <c r="O9" s="44">
        <v>298</v>
      </c>
    </row>
    <row r="10" spans="1:15" x14ac:dyDescent="0.45">
      <c r="A10" s="44">
        <v>298</v>
      </c>
      <c r="B10" s="44">
        <v>298</v>
      </c>
      <c r="C10" s="44">
        <v>298</v>
      </c>
      <c r="D10" s="44">
        <v>298</v>
      </c>
      <c r="E10" s="44">
        <v>298</v>
      </c>
      <c r="F10" s="44">
        <v>298</v>
      </c>
      <c r="G10" s="44">
        <v>298</v>
      </c>
      <c r="H10" s="44">
        <v>298</v>
      </c>
      <c r="I10" s="44">
        <v>298</v>
      </c>
      <c r="J10" s="44">
        <v>298</v>
      </c>
      <c r="K10" s="44">
        <v>298</v>
      </c>
      <c r="L10" s="44">
        <v>298</v>
      </c>
      <c r="M10" s="44">
        <v>298</v>
      </c>
      <c r="N10" s="44">
        <v>298</v>
      </c>
      <c r="O10" s="44">
        <v>298</v>
      </c>
    </row>
    <row r="11" spans="1:15" x14ac:dyDescent="0.45">
      <c r="A11" s="44">
        <v>298</v>
      </c>
      <c r="B11" s="44">
        <v>298</v>
      </c>
      <c r="C11" s="44">
        <v>298</v>
      </c>
      <c r="D11" s="44">
        <v>298</v>
      </c>
      <c r="E11" s="44">
        <v>298</v>
      </c>
      <c r="F11" s="44">
        <v>298</v>
      </c>
      <c r="G11" s="44">
        <v>298</v>
      </c>
      <c r="H11" s="44">
        <v>298</v>
      </c>
      <c r="I11" s="44">
        <v>298</v>
      </c>
      <c r="J11" s="44">
        <v>298</v>
      </c>
      <c r="K11" s="44">
        <v>298</v>
      </c>
      <c r="L11" s="44">
        <v>298</v>
      </c>
      <c r="M11" s="44">
        <v>298</v>
      </c>
      <c r="N11" s="44">
        <v>298</v>
      </c>
      <c r="O11" s="44">
        <v>298</v>
      </c>
    </row>
    <row r="12" spans="1:15" x14ac:dyDescent="0.45">
      <c r="A12" s="44">
        <v>298</v>
      </c>
      <c r="B12" s="44">
        <v>298</v>
      </c>
      <c r="C12" s="44">
        <v>298</v>
      </c>
      <c r="D12" s="44">
        <v>298</v>
      </c>
      <c r="E12" s="44">
        <v>298</v>
      </c>
      <c r="F12" s="44">
        <v>298</v>
      </c>
      <c r="G12" s="44">
        <v>298</v>
      </c>
      <c r="H12" s="44">
        <v>298</v>
      </c>
      <c r="I12" s="44">
        <v>298</v>
      </c>
      <c r="J12" s="44">
        <v>298</v>
      </c>
      <c r="K12" s="44">
        <v>298</v>
      </c>
      <c r="L12" s="44">
        <v>298</v>
      </c>
      <c r="M12" s="44">
        <v>298</v>
      </c>
      <c r="N12" s="44">
        <v>298</v>
      </c>
      <c r="O12" s="44">
        <v>298</v>
      </c>
    </row>
    <row r="13" spans="1:15" x14ac:dyDescent="0.45">
      <c r="A13" s="44">
        <v>298</v>
      </c>
      <c r="B13" s="44">
        <v>298</v>
      </c>
      <c r="C13" s="44">
        <v>298</v>
      </c>
      <c r="D13" s="44">
        <v>298</v>
      </c>
      <c r="E13" s="44">
        <v>298</v>
      </c>
      <c r="F13" s="44">
        <v>298</v>
      </c>
      <c r="G13" s="44">
        <v>298</v>
      </c>
      <c r="H13" s="44">
        <v>298</v>
      </c>
      <c r="I13" s="44">
        <v>298</v>
      </c>
      <c r="J13" s="44">
        <v>298</v>
      </c>
      <c r="K13" s="44">
        <v>298</v>
      </c>
      <c r="L13" s="44">
        <v>298</v>
      </c>
      <c r="M13" s="44">
        <v>298</v>
      </c>
      <c r="N13" s="44">
        <v>298</v>
      </c>
      <c r="O13" s="44">
        <v>298</v>
      </c>
    </row>
    <row r="14" spans="1:15" x14ac:dyDescent="0.45">
      <c r="A14" s="44">
        <v>298</v>
      </c>
      <c r="B14" s="44">
        <v>298</v>
      </c>
      <c r="C14" s="44">
        <v>298</v>
      </c>
      <c r="D14" s="44">
        <v>298</v>
      </c>
      <c r="E14" s="44">
        <v>298</v>
      </c>
      <c r="F14" s="44">
        <v>298</v>
      </c>
      <c r="G14" s="44">
        <v>298</v>
      </c>
      <c r="H14" s="44">
        <v>298</v>
      </c>
      <c r="I14" s="44">
        <v>298</v>
      </c>
      <c r="J14" s="44">
        <v>298</v>
      </c>
      <c r="K14" s="44">
        <v>298</v>
      </c>
      <c r="L14" s="44">
        <v>298</v>
      </c>
      <c r="M14" s="44">
        <v>298</v>
      </c>
      <c r="N14" s="44">
        <v>298</v>
      </c>
      <c r="O14" s="44">
        <v>298</v>
      </c>
    </row>
    <row r="15" spans="1:15" x14ac:dyDescent="0.45">
      <c r="A15" s="34">
        <f>A2*A9+A3*A10^2+A4*(1/A11)+A5*A12^0.5+A6*A13^3+A7</f>
        <v>-0.53600000000005821</v>
      </c>
      <c r="B15" s="34">
        <f t="shared" ref="B15:O15" si="0">B2*B9+B3*B10^2+B4*(1/B11)+B5*B12^0.5+B6*B13^3+B7</f>
        <v>-1.6318312991788844</v>
      </c>
      <c r="C15" s="34">
        <f t="shared" si="0"/>
        <v>-1.6690669964937115</v>
      </c>
      <c r="D15" s="34">
        <f t="shared" si="0"/>
        <v>-2.3782237789055216</v>
      </c>
      <c r="E15" s="34">
        <f t="shared" si="0"/>
        <v>-10.043079999999463</v>
      </c>
      <c r="F15" s="34">
        <f t="shared" si="0"/>
        <v>-1.0370959831270739</v>
      </c>
      <c r="G15" s="34">
        <f t="shared" si="0"/>
        <v>-1.2452793538968763</v>
      </c>
      <c r="H15" s="34">
        <f t="shared" si="0"/>
        <v>-1.3650242808803341</v>
      </c>
      <c r="I15" s="34">
        <f t="shared" si="0"/>
        <v>-0.96873340177171485</v>
      </c>
      <c r="J15" s="34">
        <f t="shared" si="0"/>
        <v>-0.82570207450771704</v>
      </c>
      <c r="K15" s="34">
        <f t="shared" si="0"/>
        <v>-0.92367814012277449</v>
      </c>
      <c r="L15" s="34">
        <f t="shared" si="0"/>
        <v>-1.5412660994831811</v>
      </c>
      <c r="M15" s="34">
        <f t="shared" si="0"/>
        <v>-1.6711252693376082</v>
      </c>
      <c r="N15" s="34">
        <f t="shared" si="0"/>
        <v>-0.56693456376922313</v>
      </c>
      <c r="O15" s="34">
        <f t="shared" si="0"/>
        <v>-1.3809640073413902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dHf</vt:lpstr>
      <vt:lpstr>enthalpy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Dishant</dc:creator>
  <cp:lastModifiedBy>Dishant</cp:lastModifiedBy>
  <dcterms:created xsi:type="dcterms:W3CDTF">2018-01-24T05:22:39Z</dcterms:created>
  <dcterms:modified xsi:type="dcterms:W3CDTF">2018-01-24T16:27:20Z</dcterms:modified>
</cp:coreProperties>
</file>